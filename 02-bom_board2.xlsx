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4D620CB-779F-4B44-BE64-9A39DAAE40B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<sst xmlns="http://schemas.openxmlformats.org/spreadsheetml/2006/main" count="342" uniqueCount="188">
  <si>
    <t/>
  </si>
  <si>
    <t xml:space="preserve">Bill of Materials </t>
  </si>
  <si>
    <t>BOM_Board2_PCB2_2026-08-14</t>
  </si>
  <si>
    <t>Project Title：</t>
  </si>
  <si>
    <t>IOT智慧农业系统V2</t>
  </si>
  <si>
    <t>Variant:</t>
  </si>
  <si>
    <t xml:space="preserve"> </t>
  </si>
  <si>
    <t>Report Time：</t>
  </si>
  <si>
    <t>2026年8月14日 8:21:25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</si>
  <si>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</si>
  <si>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</si>
  <si>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</si>
  <si>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</si>
  <si>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</si>
  <si>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</si>
  <si>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</si>
  <si>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</si>
  <si>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</si>
  <si>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</si>
  <si>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</si>
  <si>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</si>
  <si>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3kHz</t>
  </si>
  <si>
    <t>BUZZER2</t>
  </si>
  <si>
    <t>BUZ-TH_BD9.6-P5.00-D0.7-FD</t>
  </si>
  <si>
    <t>HNB09A05</t>
  </si>
  <si>
    <t>华能</t>
  </si>
  <si>
    <t>C96493</t>
  </si>
  <si>
    <t>LCSC</t>
  </si>
  <si>
    <t>C0805</t>
  </si>
  <si>
    <t>SAMSUNG(三星)</t>
  </si>
  <si>
    <t>10uF</t>
  </si>
  <si>
    <t>4.7uF</t>
  </si>
  <si>
    <t>C10</t>
  </si>
  <si>
    <t>CL21A475KAQNNNE</t>
  </si>
  <si>
    <t>C1779</t>
  </si>
  <si>
    <t>100uF</t>
  </si>
  <si>
    <t>C11</t>
  </si>
  <si>
    <t>CAP-SMD_BD6.3-L6.6-W6.6-LS7.6-FD-1</t>
  </si>
  <si>
    <t>RVE100UF35V67RV0072</t>
  </si>
  <si>
    <t>KNSCHA(科尼盛)</t>
  </si>
  <si>
    <t>C2836437</t>
  </si>
  <si>
    <t>C14</t>
  </si>
  <si>
    <t>CC0805KKX5R8BB106</t>
  </si>
  <si>
    <t>YAGEO(国巨)</t>
  </si>
  <si>
    <t>C89831</t>
  </si>
  <si>
    <t>ZX-XH2.54-2PZZ</t>
  </si>
  <si>
    <t>CN1</t>
  </si>
  <si>
    <t>CONN-TH_2P-P2.50_HX25003-2A</t>
  </si>
  <si>
    <t>Megastar(兆星)</t>
  </si>
  <si>
    <t>C7429632</t>
  </si>
  <si>
    <t>B2B-XH-A(LF)(SN)</t>
  </si>
  <si>
    <t>CN2</t>
  </si>
  <si>
    <t>CONN-TH_B2B-XH-A-LF-SN</t>
  </si>
  <si>
    <t>JST</t>
  </si>
  <si>
    <t>C158012</t>
  </si>
  <si>
    <t>1N4007</t>
  </si>
  <si>
    <t>D1</t>
  </si>
  <si>
    <t>SMA_L4.3-W2.5-LS5.0-RD</t>
  </si>
  <si>
    <t>TWGMC(迪嘉)</t>
  </si>
  <si>
    <t>C727081</t>
  </si>
  <si>
    <t>MDD(辰达半导体)</t>
  </si>
  <si>
    <t>1N5819</t>
  </si>
  <si>
    <t>D3</t>
  </si>
  <si>
    <t>SOD-323_L1.6-W1.3-LS2.7-RD</t>
  </si>
  <si>
    <t>JSMSEMI(杰盛微)</t>
  </si>
  <si>
    <t>C2927280</t>
  </si>
  <si>
    <t>HDR-F_2.54_1x3P</t>
  </si>
  <si>
    <t>H1</t>
  </si>
  <si>
    <t>C541850</t>
  </si>
  <si>
    <t>PM254V-11-04-H85</t>
  </si>
  <si>
    <t>H2, H3</t>
  </si>
  <si>
    <t>HDR-TH_4P-P2.54-V-F</t>
  </si>
  <si>
    <t>XFCN(兴飞)</t>
  </si>
  <si>
    <t>C541851</t>
  </si>
  <si>
    <t>Ra-01SC-I</t>
  </si>
  <si>
    <t>L1</t>
  </si>
  <si>
    <t>COMM-SMD_16P-L17.0-W16.0-P2.00-1</t>
  </si>
  <si>
    <t>Ai-Thinker(安信可)</t>
  </si>
  <si>
    <t>C2830750</t>
  </si>
  <si>
    <t>4.7uH</t>
  </si>
  <si>
    <t>L2</t>
  </si>
  <si>
    <t>IND-SMD_L4.4-W4.2</t>
  </si>
  <si>
    <t>FXL0420-4R7-M</t>
  </si>
  <si>
    <t>cjiang(长江微电)</t>
  </si>
  <si>
    <t>C167208</t>
  </si>
  <si>
    <t>GL5528(10-20)</t>
  </si>
  <si>
    <t>LS1</t>
  </si>
  <si>
    <t>RES-TH_L5.1-W4.3-P3.40-D0.5</t>
  </si>
  <si>
    <t>JCHL(晶创和立)</t>
  </si>
  <si>
    <t>C10081</t>
  </si>
  <si>
    <t>WJ500V-5.08-3P</t>
  </si>
  <si>
    <t>P1</t>
  </si>
  <si>
    <t>CONN-TH_3P-P5.00_WJ500V-5.08-3P</t>
  </si>
  <si>
    <t>KANGNEX(康奈克斯电气)</t>
  </si>
  <si>
    <t>C72334</t>
  </si>
  <si>
    <t>AMS1117-3.3V</t>
  </si>
  <si>
    <t>Q1</t>
  </si>
  <si>
    <t>SOT-89-3_L4.5-W2.5-P1.50-LS4.2-BR</t>
  </si>
  <si>
    <t>MSKSEMI(美森科)</t>
  </si>
  <si>
    <t>C5120796</t>
  </si>
  <si>
    <t>S8050</t>
  </si>
  <si>
    <t>Q2, Q4</t>
  </si>
  <si>
    <t>SOT-23-3_L3.0-W1.7-P0.95-LS2.9-BR</t>
  </si>
  <si>
    <t>C364312</t>
  </si>
  <si>
    <t>SI2302</t>
  </si>
  <si>
    <t>Q3</t>
  </si>
  <si>
    <t>SOT-23_L2.9-W1.3-P1.90-LS2.4-BR</t>
  </si>
  <si>
    <t>BORN(伯恩半导体)</t>
  </si>
  <si>
    <t>C344009</t>
  </si>
  <si>
    <t>AO3401</t>
  </si>
  <si>
    <t>Q5</t>
  </si>
  <si>
    <t>SOT-23-3_L2.9-W1.4-P1.90-LS2.6-BR</t>
  </si>
  <si>
    <t>TWGMC(台湾迪嘉)</t>
  </si>
  <si>
    <t>C727156</t>
  </si>
  <si>
    <t>R0805</t>
  </si>
  <si>
    <t>UNI-ROYAL(厚声)</t>
  </si>
  <si>
    <t>1kΩ</t>
  </si>
  <si>
    <t>1.5kΩ</t>
  </si>
  <si>
    <t>R7</t>
  </si>
  <si>
    <t>0805W8F1501T5E</t>
  </si>
  <si>
    <t>C4310</t>
  </si>
  <si>
    <t>R13</t>
  </si>
  <si>
    <t>0805W8F1000T5E</t>
  </si>
  <si>
    <t>20kΩ</t>
  </si>
  <si>
    <t>R19, R20</t>
  </si>
  <si>
    <t>0805W8F2002T5E</t>
  </si>
  <si>
    <t>C4328</t>
  </si>
  <si>
    <t>75kΩ</t>
  </si>
  <si>
    <t>R21</t>
  </si>
  <si>
    <t>0805W8F7502T5E</t>
  </si>
  <si>
    <t>C17819</t>
  </si>
  <si>
    <t>24kΩ</t>
  </si>
  <si>
    <t>R22</t>
  </si>
  <si>
    <t>0805W8F2402T5E</t>
  </si>
  <si>
    <t>C17575</t>
  </si>
  <si>
    <t>SRD-05VDC-SL-C</t>
  </si>
  <si>
    <t>RLY1</t>
  </si>
  <si>
    <t>RELAY-TH_SRD-XXVDC-XL-C</t>
  </si>
  <si>
    <t>松乐</t>
  </si>
  <si>
    <t>C35449</t>
  </si>
  <si>
    <t>KH-6X6X5H-STM</t>
  </si>
  <si>
    <t>SW1, SW2</t>
  </si>
  <si>
    <t>SW-SMD_4P-L6.0-W6.0-P4.50-LS9.0_H5.0</t>
  </si>
  <si>
    <t>kinghelm(金航标)</t>
  </si>
  <si>
    <t>C2837531</t>
  </si>
  <si>
    <t>PS-5850A-6PL</t>
  </si>
  <si>
    <t>SW3</t>
  </si>
  <si>
    <t>SW-TH_6P-L5.8-W5.8-P2.00-LS4.5-BL_1</t>
  </si>
  <si>
    <t>G-Switch(品赞)</t>
  </si>
  <si>
    <t>C963201</t>
  </si>
  <si>
    <t>LCKFB-DKX-STM32F103C8T6</t>
  </si>
  <si>
    <t>U1</t>
  </si>
  <si>
    <t>CONN-TH_L53.3-W22.9_STM32F103C8T6-CARD</t>
  </si>
  <si>
    <t>立创开发板</t>
  </si>
  <si>
    <t>C22396880</t>
  </si>
  <si>
    <t>CH340K</t>
  </si>
  <si>
    <t>U2</t>
  </si>
  <si>
    <t>ESOP-10_L4.9-W3.9-P1.00-LS6.2-BL-EP</t>
  </si>
  <si>
    <t>WCH(南京沁恒)</t>
  </si>
  <si>
    <t>C968586</t>
  </si>
  <si>
    <t>TP4056</t>
  </si>
  <si>
    <t>U4</t>
  </si>
  <si>
    <t>ESOP-8_L4.9-W3.9-P1.27-LS6.0-BL-EP</t>
  </si>
  <si>
    <t>UMW(友台半导体)</t>
  </si>
  <si>
    <t>C725790</t>
  </si>
  <si>
    <t>MT3540-F25</t>
  </si>
  <si>
    <t>U5</t>
  </si>
  <si>
    <t>SOT-23-5_L2.9-W1.6-P0.95-LS2.8-BL</t>
  </si>
  <si>
    <t>西安航天民芯</t>
  </si>
  <si>
    <t>C883495</t>
  </si>
  <si>
    <t>Project Title</t>
  </si>
  <si>
    <t>Borard Title</t>
  </si>
  <si>
    <t>Board2</t>
  </si>
  <si>
    <t>Schematic Title</t>
  </si>
  <si>
    <t>智慧农业终端板</t>
  </si>
  <si>
    <t>PCB Title</t>
  </si>
  <si>
    <t>PCB2</t>
  </si>
  <si>
    <t>Variant Name</t>
  </si>
  <si>
    <t>Total Quantity</t>
  </si>
  <si>
    <t>Report Time</t>
  </si>
  <si>
    <t>8:21:25</t>
  </si>
  <si>
    <t>Report Date</t>
  </si>
  <si>
    <t>2026年8月14日</t>
  </si>
  <si>
    <t>Report Date&amp;Time</t>
  </si>
  <si>
    <t>File Name</t>
  </si>
  <si>
    <t>Filter Option</t>
  </si>
  <si>
    <t xml:space="preserve">Add into BOM:no; </t>
  </si>
  <si>
    <t>HDR-TH_3P-P2.54-V-F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</si>
</sst>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\¥\-#,##0.00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3" borderId="3" xfId="0" applyFont="1" applyFill="1" applyBorder="1"/>
    <xf numFmtId="176" fontId="1" fillId="0" borderId="4" xfId="0" applyNumberFormat="1" applyFont="1" applyBorder="1" applyAlignment="1">
      <alignment horizontal="right"/>
    </xf>
    <xf numFmtId="176" fontId="1" fillId="0" borderId="5" xfId="0" applyNumberFormat="1" applyFont="1" applyBorder="1" applyAlignment="1">
      <alignment horizontal="right"/>
    </xf>
    <xf numFmtId="176" fontId="1" fillId="0" borderId="6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1064846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showGridLines="0" tabSelected="1" zoomScaleNormal="100" workbookViewId="0">
      <selection activeCell="F39" sqref="F39"/>
    </sheetView>
  </sheetViews>
  <sheetFormatPr defaultColWidth="9" defaultRowHeight="14.25" customHeight="1" x14ac:dyDescent="0.25"/>
  <cols>
    <col min="1" max="1" width="16.26953125" customWidth="1"/>
    <col min="2" max="2" width="17.08984375" customWidth="1"/>
    <col min="3" max="3" width="18" customWidth="1"/>
    <col min="4" max="4" width="15.26953125" customWidth="1"/>
    <col min="5" max="5" width="13.08984375" customWidth="1"/>
    <col min="6" max="6" width="13.26953125" customWidth="1"/>
    <col min="7" max="7" width="14.36328125" customWidth="1"/>
    <col min="8" max="8" width="16.90625" customWidth="1"/>
    <col min="9" max="9" width="13.36328125" customWidth="1"/>
    <col min="10" max="10" width="14.36328125" customWidth="1"/>
    <col min="11" max="11" width="10.26953125" customWidth="1"/>
  </cols>
  <sheetData>
    <row r="1" spans="1:12" ht="14.25" customHeight="1" x14ac:dyDescent="0.3">
      <c r="A1" s="8" t="s">
        <v>0</v>
      </c>
      <c r="B1" s="8"/>
      <c r="C1" s="8"/>
      <c r="D1" s="8"/>
      <c r="E1" s="9" t="s">
        <v>1</v>
      </c>
      <c r="F1" s="9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3">
      <c r="A2" s="8"/>
      <c r="B2" s="8"/>
      <c r="C2" s="8"/>
      <c r="D2" s="8"/>
      <c r="E2" s="9"/>
      <c r="F2" s="9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3">
      <c r="A3" s="8"/>
      <c r="B3" s="8"/>
      <c r="C3" s="8"/>
      <c r="D3" s="8"/>
      <c r="E3" s="2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3">
      <c r="A4" s="8"/>
      <c r="B4" s="8"/>
      <c r="C4" s="8"/>
      <c r="D4" s="8"/>
      <c r="E4" s="2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3">
      <c r="A5" s="8"/>
      <c r="B5" s="8"/>
      <c r="C5" s="8"/>
      <c r="D5" s="8"/>
      <c r="E5" s="2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3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14.25" customHeight="1" x14ac:dyDescent="0.3">
      <c r="A7" s="6">
        <f t="shared" ref="A7:A37" si="0">ROW()-6</f>
        <v>1</v>
      </c>
      <c r="B7" s="7">
        <v>1</v>
      </c>
      <c r="C7" s="7" t="s">
        <v>21</v>
      </c>
      <c r="D7" s="7" t="s">
        <v>22</v>
      </c>
      <c r="E7" s="7" t="s">
        <v>23</v>
      </c>
      <c r="F7" s="7" t="s">
        <v>21</v>
      </c>
      <c r="G7" s="7" t="s">
        <v>24</v>
      </c>
      <c r="H7" s="7" t="s">
        <v>25</v>
      </c>
      <c r="I7" s="7" t="s">
        <v>26</v>
      </c>
      <c r="J7" s="7" t="s">
        <v>27</v>
      </c>
      <c r="K7" s="7" t="s">
        <v>0</v>
      </c>
    </row>
    <row r="8" spans="1:12" ht="14.25" customHeight="1" x14ac:dyDescent="0.3">
      <c r="A8" s="6">
        <f t="shared" si="0"/>
        <v>2</v>
      </c>
      <c r="B8" s="7">
        <v>1</v>
      </c>
      <c r="C8" s="7" t="s">
        <v>31</v>
      </c>
      <c r="D8" s="7" t="s">
        <v>32</v>
      </c>
      <c r="E8" s="7" t="s">
        <v>28</v>
      </c>
      <c r="F8" s="7" t="s">
        <v>31</v>
      </c>
      <c r="G8" s="7" t="s">
        <v>33</v>
      </c>
      <c r="H8" s="7" t="s">
        <v>29</v>
      </c>
      <c r="I8" s="7" t="s">
        <v>34</v>
      </c>
      <c r="J8" s="7" t="s">
        <v>27</v>
      </c>
      <c r="K8" s="7" t="s">
        <v>0</v>
      </c>
    </row>
    <row r="9" spans="1:12" ht="14.25" customHeight="1" x14ac:dyDescent="0.3">
      <c r="A9" s="6">
        <f t="shared" si="0"/>
        <v>3</v>
      </c>
      <c r="B9" s="7">
        <v>1</v>
      </c>
      <c r="C9" s="7" t="s">
        <v>35</v>
      </c>
      <c r="D9" s="7" t="s">
        <v>36</v>
      </c>
      <c r="E9" s="7" t="s">
        <v>37</v>
      </c>
      <c r="F9" s="7" t="s">
        <v>35</v>
      </c>
      <c r="G9" s="7" t="s">
        <v>38</v>
      </c>
      <c r="H9" s="7" t="s">
        <v>39</v>
      </c>
      <c r="I9" s="7" t="s">
        <v>40</v>
      </c>
      <c r="J9" s="7" t="s">
        <v>27</v>
      </c>
      <c r="K9" s="7" t="s">
        <v>0</v>
      </c>
    </row>
    <row r="10" spans="1:12" ht="14.25" customHeight="1" x14ac:dyDescent="0.3">
      <c r="A10" s="6">
        <f t="shared" si="0"/>
        <v>4</v>
      </c>
      <c r="B10" s="7">
        <v>1</v>
      </c>
      <c r="C10" s="7" t="s">
        <v>30</v>
      </c>
      <c r="D10" s="7" t="s">
        <v>41</v>
      </c>
      <c r="E10" s="7" t="s">
        <v>28</v>
      </c>
      <c r="F10" s="7" t="s">
        <v>30</v>
      </c>
      <c r="G10" s="7" t="s">
        <v>42</v>
      </c>
      <c r="H10" s="7" t="s">
        <v>43</v>
      </c>
      <c r="I10" s="7" t="s">
        <v>44</v>
      </c>
      <c r="J10" s="7" t="s">
        <v>27</v>
      </c>
      <c r="K10" s="7" t="s">
        <v>0</v>
      </c>
    </row>
    <row r="11" spans="1:12" ht="14.25" customHeight="1" x14ac:dyDescent="0.3">
      <c r="A11" s="6">
        <f t="shared" si="0"/>
        <v>5</v>
      </c>
      <c r="B11" s="7">
        <v>1</v>
      </c>
      <c r="C11" s="7" t="s">
        <v>45</v>
      </c>
      <c r="D11" s="7" t="s">
        <v>46</v>
      </c>
      <c r="E11" s="7" t="s">
        <v>47</v>
      </c>
      <c r="F11" s="7" t="s">
        <v>0</v>
      </c>
      <c r="G11" s="7" t="s">
        <v>45</v>
      </c>
      <c r="H11" s="7" t="s">
        <v>48</v>
      </c>
      <c r="I11" s="7" t="s">
        <v>49</v>
      </c>
      <c r="J11" s="7" t="s">
        <v>27</v>
      </c>
      <c r="K11" s="7" t="s">
        <v>0</v>
      </c>
    </row>
    <row r="12" spans="1:12" ht="14.25" customHeight="1" x14ac:dyDescent="0.3">
      <c r="A12" s="6">
        <f t="shared" si="0"/>
        <v>6</v>
      </c>
      <c r="B12" s="7">
        <v>1</v>
      </c>
      <c r="C12" s="7" t="s">
        <v>50</v>
      </c>
      <c r="D12" s="7" t="s">
        <v>51</v>
      </c>
      <c r="E12" s="7" t="s">
        <v>52</v>
      </c>
      <c r="F12" s="7" t="s">
        <v>0</v>
      </c>
      <c r="G12" s="7" t="s">
        <v>50</v>
      </c>
      <c r="H12" s="7" t="s">
        <v>53</v>
      </c>
      <c r="I12" s="7" t="s">
        <v>54</v>
      </c>
      <c r="J12" s="7" t="s">
        <v>27</v>
      </c>
      <c r="K12" s="7" t="s">
        <v>0</v>
      </c>
    </row>
    <row r="13" spans="1:12" ht="14.25" customHeight="1" x14ac:dyDescent="0.3">
      <c r="A13" s="6">
        <f t="shared" si="0"/>
        <v>7</v>
      </c>
      <c r="B13" s="7">
        <v>1</v>
      </c>
      <c r="C13" s="7" t="s">
        <v>55</v>
      </c>
      <c r="D13" s="7" t="s">
        <v>56</v>
      </c>
      <c r="E13" s="7" t="s">
        <v>57</v>
      </c>
      <c r="F13" s="7" t="s">
        <v>0</v>
      </c>
      <c r="G13" s="7" t="s">
        <v>55</v>
      </c>
      <c r="H13" s="7" t="s">
        <v>58</v>
      </c>
      <c r="I13" s="7" t="s">
        <v>59</v>
      </c>
      <c r="J13" s="7" t="s">
        <v>27</v>
      </c>
      <c r="K13" s="7" t="s">
        <v>0</v>
      </c>
    </row>
    <row r="14" spans="1:12" ht="14.25" customHeight="1" x14ac:dyDescent="0.3">
      <c r="A14" s="6">
        <f t="shared" si="0"/>
        <v>8</v>
      </c>
      <c r="B14" s="7">
        <v>1</v>
      </c>
      <c r="C14" s="7" t="s">
        <v>61</v>
      </c>
      <c r="D14" s="7" t="s">
        <v>62</v>
      </c>
      <c r="E14" s="7" t="s">
        <v>63</v>
      </c>
      <c r="F14" s="7" t="s">
        <v>0</v>
      </c>
      <c r="G14" s="7" t="s">
        <v>61</v>
      </c>
      <c r="H14" s="7" t="s">
        <v>64</v>
      </c>
      <c r="I14" s="7" t="s">
        <v>65</v>
      </c>
      <c r="J14" s="7" t="s">
        <v>27</v>
      </c>
      <c r="K14" s="7" t="s">
        <v>0</v>
      </c>
    </row>
    <row r="15" spans="1:12" ht="14.25" customHeight="1" x14ac:dyDescent="0.3">
      <c r="A15" s="6">
        <f t="shared" si="0"/>
        <v>9</v>
      </c>
      <c r="B15" s="7">
        <v>1</v>
      </c>
      <c r="C15" s="7" t="s">
        <v>66</v>
      </c>
      <c r="D15" s="7" t="s">
        <v>67</v>
      </c>
      <c r="E15" s="10" t="s">
        <v>187</v>
      </c>
      <c r="F15" s="7" t="s">
        <v>0</v>
      </c>
      <c r="G15" s="7" t="s">
        <v>0</v>
      </c>
      <c r="H15" s="7" t="s">
        <v>0</v>
      </c>
      <c r="I15" s="7" t="s">
        <v>68</v>
      </c>
      <c r="J15" s="7" t="s">
        <v>0</v>
      </c>
      <c r="K15" s="7" t="s">
        <v>0</v>
      </c>
    </row>
    <row r="16" spans="1:12" ht="14.25" customHeight="1" x14ac:dyDescent="0.3">
      <c r="A16" s="6">
        <f t="shared" si="0"/>
        <v>10</v>
      </c>
      <c r="B16" s="7">
        <v>2</v>
      </c>
      <c r="C16" s="7" t="s">
        <v>69</v>
      </c>
      <c r="D16" s="7" t="s">
        <v>70</v>
      </c>
      <c r="E16" s="7" t="s">
        <v>71</v>
      </c>
      <c r="F16" s="7" t="s">
        <v>0</v>
      </c>
      <c r="G16" s="7" t="s">
        <v>69</v>
      </c>
      <c r="H16" s="7" t="s">
        <v>72</v>
      </c>
      <c r="I16" s="7" t="s">
        <v>73</v>
      </c>
      <c r="J16" s="7" t="s">
        <v>27</v>
      </c>
      <c r="K16" s="7" t="s">
        <v>0</v>
      </c>
    </row>
    <row r="17" spans="1:11" ht="14.25" customHeight="1" x14ac:dyDescent="0.3">
      <c r="A17" s="6">
        <f t="shared" si="0"/>
        <v>11</v>
      </c>
      <c r="B17" s="7">
        <v>1</v>
      </c>
      <c r="C17" s="7" t="s">
        <v>74</v>
      </c>
      <c r="D17" s="7" t="s">
        <v>75</v>
      </c>
      <c r="E17" s="7" t="s">
        <v>76</v>
      </c>
      <c r="F17" s="7" t="s">
        <v>0</v>
      </c>
      <c r="G17" s="7" t="s">
        <v>74</v>
      </c>
      <c r="H17" s="7" t="s">
        <v>77</v>
      </c>
      <c r="I17" s="7" t="s">
        <v>78</v>
      </c>
      <c r="J17" s="7" t="s">
        <v>27</v>
      </c>
      <c r="K17" s="7" t="s">
        <v>0</v>
      </c>
    </row>
    <row r="18" spans="1:11" ht="14.25" customHeight="1" x14ac:dyDescent="0.3">
      <c r="A18" s="6">
        <f t="shared" si="0"/>
        <v>12</v>
      </c>
      <c r="B18" s="7">
        <v>1</v>
      </c>
      <c r="C18" s="7" t="s">
        <v>79</v>
      </c>
      <c r="D18" s="7" t="s">
        <v>80</v>
      </c>
      <c r="E18" s="7" t="s">
        <v>81</v>
      </c>
      <c r="F18" s="7" t="s">
        <v>79</v>
      </c>
      <c r="G18" s="7" t="s">
        <v>82</v>
      </c>
      <c r="H18" s="7" t="s">
        <v>83</v>
      </c>
      <c r="I18" s="7" t="s">
        <v>84</v>
      </c>
      <c r="J18" s="7" t="s">
        <v>27</v>
      </c>
      <c r="K18" s="7" t="s">
        <v>0</v>
      </c>
    </row>
    <row r="19" spans="1:11" ht="14.25" customHeight="1" x14ac:dyDescent="0.3">
      <c r="A19" s="6">
        <f t="shared" si="0"/>
        <v>13</v>
      </c>
      <c r="B19" s="7">
        <v>1</v>
      </c>
      <c r="C19" s="7" t="s">
        <v>85</v>
      </c>
      <c r="D19" s="7" t="s">
        <v>86</v>
      </c>
      <c r="E19" s="7" t="s">
        <v>87</v>
      </c>
      <c r="F19" s="7" t="s">
        <v>0</v>
      </c>
      <c r="G19" s="7" t="s">
        <v>85</v>
      </c>
      <c r="H19" s="7" t="s">
        <v>88</v>
      </c>
      <c r="I19" s="7" t="s">
        <v>89</v>
      </c>
      <c r="J19" s="7" t="s">
        <v>27</v>
      </c>
      <c r="K19" s="7" t="s">
        <v>0</v>
      </c>
    </row>
    <row r="20" spans="1:11" ht="14.25" customHeight="1" x14ac:dyDescent="0.3">
      <c r="A20" s="6">
        <f t="shared" si="0"/>
        <v>14</v>
      </c>
      <c r="B20" s="7">
        <v>1</v>
      </c>
      <c r="C20" s="7" t="s">
        <v>90</v>
      </c>
      <c r="D20" s="7" t="s">
        <v>91</v>
      </c>
      <c r="E20" s="7" t="s">
        <v>92</v>
      </c>
      <c r="F20" s="7" t="s">
        <v>0</v>
      </c>
      <c r="G20" s="7" t="s">
        <v>90</v>
      </c>
      <c r="H20" s="7" t="s">
        <v>93</v>
      </c>
      <c r="I20" s="7" t="s">
        <v>94</v>
      </c>
      <c r="J20" s="7" t="s">
        <v>27</v>
      </c>
      <c r="K20" s="7" t="s">
        <v>0</v>
      </c>
    </row>
    <row r="21" spans="1:11" ht="14.25" customHeight="1" x14ac:dyDescent="0.3">
      <c r="A21" s="6">
        <f t="shared" si="0"/>
        <v>15</v>
      </c>
      <c r="B21" s="7">
        <v>1</v>
      </c>
      <c r="C21" s="7" t="s">
        <v>95</v>
      </c>
      <c r="D21" s="7" t="s">
        <v>96</v>
      </c>
      <c r="E21" s="7" t="s">
        <v>97</v>
      </c>
      <c r="F21" s="7" t="s">
        <v>0</v>
      </c>
      <c r="G21" s="7" t="s">
        <v>95</v>
      </c>
      <c r="H21" s="7" t="s">
        <v>98</v>
      </c>
      <c r="I21" s="7" t="s">
        <v>99</v>
      </c>
      <c r="J21" s="7" t="s">
        <v>27</v>
      </c>
      <c r="K21" s="7" t="s">
        <v>0</v>
      </c>
    </row>
    <row r="22" spans="1:11" ht="14.25" customHeight="1" x14ac:dyDescent="0.3">
      <c r="A22" s="6">
        <f t="shared" si="0"/>
        <v>16</v>
      </c>
      <c r="B22" s="7">
        <v>2</v>
      </c>
      <c r="C22" s="7" t="s">
        <v>100</v>
      </c>
      <c r="D22" s="7" t="s">
        <v>101</v>
      </c>
      <c r="E22" s="7" t="s">
        <v>102</v>
      </c>
      <c r="F22" s="7" t="s">
        <v>0</v>
      </c>
      <c r="G22" s="7" t="s">
        <v>100</v>
      </c>
      <c r="H22" s="7" t="s">
        <v>60</v>
      </c>
      <c r="I22" s="7" t="s">
        <v>103</v>
      </c>
      <c r="J22" s="7" t="s">
        <v>27</v>
      </c>
      <c r="K22" s="7" t="s">
        <v>0</v>
      </c>
    </row>
    <row r="23" spans="1:11" ht="14.25" customHeight="1" x14ac:dyDescent="0.3">
      <c r="A23" s="6">
        <f t="shared" si="0"/>
        <v>17</v>
      </c>
      <c r="B23" s="7">
        <v>1</v>
      </c>
      <c r="C23" s="7" t="s">
        <v>104</v>
      </c>
      <c r="D23" s="7" t="s">
        <v>105</v>
      </c>
      <c r="E23" s="7" t="s">
        <v>106</v>
      </c>
      <c r="F23" s="7" t="s">
        <v>0</v>
      </c>
      <c r="G23" s="7" t="s">
        <v>104</v>
      </c>
      <c r="H23" s="7" t="s">
        <v>107</v>
      </c>
      <c r="I23" s="7" t="s">
        <v>108</v>
      </c>
      <c r="J23" s="7" t="s">
        <v>27</v>
      </c>
      <c r="K23" s="7" t="s">
        <v>0</v>
      </c>
    </row>
    <row r="24" spans="1:11" ht="14.25" customHeight="1" x14ac:dyDescent="0.3">
      <c r="A24" s="6">
        <f t="shared" si="0"/>
        <v>18</v>
      </c>
      <c r="B24" s="7">
        <v>1</v>
      </c>
      <c r="C24" s="7" t="s">
        <v>109</v>
      </c>
      <c r="D24" s="7" t="s">
        <v>110</v>
      </c>
      <c r="E24" s="7" t="s">
        <v>111</v>
      </c>
      <c r="F24" s="7" t="s">
        <v>0</v>
      </c>
      <c r="G24" s="7" t="s">
        <v>109</v>
      </c>
      <c r="H24" s="7" t="s">
        <v>112</v>
      </c>
      <c r="I24" s="7" t="s">
        <v>113</v>
      </c>
      <c r="J24" s="7" t="s">
        <v>27</v>
      </c>
      <c r="K24" s="7" t="s">
        <v>0</v>
      </c>
    </row>
    <row r="25" spans="1:11" ht="14.25" customHeight="1" x14ac:dyDescent="0.3">
      <c r="A25" s="6">
        <f t="shared" si="0"/>
        <v>19</v>
      </c>
      <c r="B25" s="7">
        <v>1</v>
      </c>
      <c r="C25" s="7" t="s">
        <v>117</v>
      </c>
      <c r="D25" s="7" t="s">
        <v>118</v>
      </c>
      <c r="E25" s="7" t="s">
        <v>114</v>
      </c>
      <c r="F25" s="7" t="s">
        <v>117</v>
      </c>
      <c r="G25" s="7" t="s">
        <v>119</v>
      </c>
      <c r="H25" s="7" t="s">
        <v>115</v>
      </c>
      <c r="I25" s="7" t="s">
        <v>120</v>
      </c>
      <c r="J25" s="7" t="s">
        <v>27</v>
      </c>
      <c r="K25" s="7" t="s">
        <v>0</v>
      </c>
    </row>
    <row r="26" spans="1:11" ht="14.25" customHeight="1" x14ac:dyDescent="0.3">
      <c r="A26" s="6">
        <f t="shared" si="0"/>
        <v>20</v>
      </c>
      <c r="B26" s="7">
        <v>1</v>
      </c>
      <c r="C26" s="7" t="s">
        <v>116</v>
      </c>
      <c r="D26" s="7" t="s">
        <v>121</v>
      </c>
      <c r="E26" s="7" t="s">
        <v>114</v>
      </c>
      <c r="F26" s="7" t="s">
        <v>116</v>
      </c>
      <c r="G26" s="7" t="s">
        <v>122</v>
      </c>
      <c r="H26" s="7" t="s">
        <v>115</v>
      </c>
      <c r="I26" s="7" t="s">
        <v>0</v>
      </c>
      <c r="J26" s="7" t="s">
        <v>27</v>
      </c>
      <c r="K26" s="7" t="s">
        <v>0</v>
      </c>
    </row>
    <row r="27" spans="1:11" ht="14.25" customHeight="1" x14ac:dyDescent="0.3">
      <c r="A27" s="6">
        <f t="shared" si="0"/>
        <v>21</v>
      </c>
      <c r="B27" s="7">
        <v>2</v>
      </c>
      <c r="C27" s="7" t="s">
        <v>123</v>
      </c>
      <c r="D27" s="7" t="s">
        <v>124</v>
      </c>
      <c r="E27" s="7" t="s">
        <v>114</v>
      </c>
      <c r="F27" s="7" t="s">
        <v>123</v>
      </c>
      <c r="G27" s="7" t="s">
        <v>125</v>
      </c>
      <c r="H27" s="7" t="s">
        <v>115</v>
      </c>
      <c r="I27" s="7" t="s">
        <v>126</v>
      </c>
      <c r="J27" s="7" t="s">
        <v>27</v>
      </c>
      <c r="K27" s="7" t="s">
        <v>0</v>
      </c>
    </row>
    <row r="28" spans="1:11" ht="14.25" customHeight="1" x14ac:dyDescent="0.3">
      <c r="A28" s="6">
        <f t="shared" si="0"/>
        <v>22</v>
      </c>
      <c r="B28" s="7">
        <v>1</v>
      </c>
      <c r="C28" s="7" t="s">
        <v>127</v>
      </c>
      <c r="D28" s="7" t="s">
        <v>128</v>
      </c>
      <c r="E28" s="7" t="s">
        <v>114</v>
      </c>
      <c r="F28" s="7" t="s">
        <v>127</v>
      </c>
      <c r="G28" s="7" t="s">
        <v>129</v>
      </c>
      <c r="H28" s="7" t="s">
        <v>115</v>
      </c>
      <c r="I28" s="7" t="s">
        <v>130</v>
      </c>
      <c r="J28" s="7" t="s">
        <v>27</v>
      </c>
      <c r="K28" s="7" t="s">
        <v>0</v>
      </c>
    </row>
    <row r="29" spans="1:11" ht="14.25" customHeight="1" x14ac:dyDescent="0.3">
      <c r="A29" s="6">
        <f t="shared" si="0"/>
        <v>23</v>
      </c>
      <c r="B29" s="7">
        <v>1</v>
      </c>
      <c r="C29" s="7" t="s">
        <v>131</v>
      </c>
      <c r="D29" s="7" t="s">
        <v>132</v>
      </c>
      <c r="E29" s="7" t="s">
        <v>114</v>
      </c>
      <c r="F29" s="7" t="s">
        <v>131</v>
      </c>
      <c r="G29" s="7" t="s">
        <v>133</v>
      </c>
      <c r="H29" s="7" t="s">
        <v>115</v>
      </c>
      <c r="I29" s="7" t="s">
        <v>134</v>
      </c>
      <c r="J29" s="7" t="s">
        <v>27</v>
      </c>
      <c r="K29" s="7" t="s">
        <v>0</v>
      </c>
    </row>
    <row r="30" spans="1:11" ht="14.25" customHeight="1" x14ac:dyDescent="0.3">
      <c r="A30" s="6">
        <f t="shared" si="0"/>
        <v>24</v>
      </c>
      <c r="B30" s="7">
        <v>1</v>
      </c>
      <c r="C30" s="7" t="s">
        <v>135</v>
      </c>
      <c r="D30" s="7" t="s">
        <v>136</v>
      </c>
      <c r="E30" s="7" t="s">
        <v>137</v>
      </c>
      <c r="F30" s="7" t="s">
        <v>0</v>
      </c>
      <c r="G30" s="7" t="s">
        <v>135</v>
      </c>
      <c r="H30" s="7" t="s">
        <v>138</v>
      </c>
      <c r="I30" s="7" t="s">
        <v>139</v>
      </c>
      <c r="J30" s="7" t="s">
        <v>27</v>
      </c>
      <c r="K30" s="7" t="s">
        <v>0</v>
      </c>
    </row>
    <row r="31" spans="1:11" ht="14.25" customHeight="1" x14ac:dyDescent="0.3">
      <c r="A31" s="6">
        <f t="shared" si="0"/>
        <v>25</v>
      </c>
      <c r="B31" s="7">
        <v>2</v>
      </c>
      <c r="C31" s="7" t="s">
        <v>140</v>
      </c>
      <c r="D31" s="7" t="s">
        <v>141</v>
      </c>
      <c r="E31" s="7" t="s">
        <v>142</v>
      </c>
      <c r="F31" s="7" t="s">
        <v>0</v>
      </c>
      <c r="G31" s="7" t="s">
        <v>140</v>
      </c>
      <c r="H31" s="7" t="s">
        <v>143</v>
      </c>
      <c r="I31" s="7" t="s">
        <v>144</v>
      </c>
      <c r="J31" s="7" t="s">
        <v>27</v>
      </c>
      <c r="K31" s="7" t="s">
        <v>0</v>
      </c>
    </row>
    <row r="32" spans="1:11" ht="14.25" customHeight="1" x14ac:dyDescent="0.3">
      <c r="A32" s="6">
        <f t="shared" si="0"/>
        <v>26</v>
      </c>
      <c r="B32" s="7">
        <v>1</v>
      </c>
      <c r="C32" s="7" t="s">
        <v>145</v>
      </c>
      <c r="D32" s="7" t="s">
        <v>146</v>
      </c>
      <c r="E32" s="7" t="s">
        <v>147</v>
      </c>
      <c r="F32" s="7" t="s">
        <v>0</v>
      </c>
      <c r="G32" s="7" t="s">
        <v>145</v>
      </c>
      <c r="H32" s="7" t="s">
        <v>148</v>
      </c>
      <c r="I32" s="7" t="s">
        <v>149</v>
      </c>
      <c r="J32" s="7" t="s">
        <v>27</v>
      </c>
      <c r="K32" s="7" t="s">
        <v>0</v>
      </c>
    </row>
    <row r="33" spans="1:11" ht="14.25" customHeight="1" x14ac:dyDescent="0.3">
      <c r="A33" s="6">
        <f t="shared" si="0"/>
        <v>27</v>
      </c>
      <c r="B33" s="7">
        <v>1</v>
      </c>
      <c r="C33" s="7" t="s">
        <v>150</v>
      </c>
      <c r="D33" s="7" t="s">
        <v>151</v>
      </c>
      <c r="E33" s="7" t="s">
        <v>152</v>
      </c>
      <c r="F33" s="7" t="s">
        <v>0</v>
      </c>
      <c r="G33" s="7" t="s">
        <v>150</v>
      </c>
      <c r="H33" s="7" t="s">
        <v>153</v>
      </c>
      <c r="I33" s="7" t="s">
        <v>154</v>
      </c>
      <c r="J33" s="7" t="s">
        <v>27</v>
      </c>
      <c r="K33" s="7" t="s">
        <v>0</v>
      </c>
    </row>
    <row r="34" spans="1:11" ht="14.25" customHeight="1" x14ac:dyDescent="0.3">
      <c r="A34" s="6">
        <f t="shared" si="0"/>
        <v>28</v>
      </c>
      <c r="B34" s="7">
        <v>1</v>
      </c>
      <c r="C34" s="7" t="s">
        <v>155</v>
      </c>
      <c r="D34" s="7" t="s">
        <v>156</v>
      </c>
      <c r="E34" s="7" t="s">
        <v>157</v>
      </c>
      <c r="F34" s="7" t="s">
        <v>0</v>
      </c>
      <c r="G34" s="7" t="s">
        <v>155</v>
      </c>
      <c r="H34" s="7" t="s">
        <v>158</v>
      </c>
      <c r="I34" s="7" t="s">
        <v>159</v>
      </c>
      <c r="J34" s="7" t="s">
        <v>27</v>
      </c>
      <c r="K34" s="7" t="s">
        <v>0</v>
      </c>
    </row>
    <row r="35" spans="1:11" ht="14.25" customHeight="1" x14ac:dyDescent="0.3">
      <c r="A35" s="6">
        <f t="shared" si="0"/>
        <v>29</v>
      </c>
      <c r="B35" s="7">
        <v>1</v>
      </c>
      <c r="C35" s="7" t="s">
        <v>160</v>
      </c>
      <c r="D35" s="7" t="s">
        <v>161</v>
      </c>
      <c r="E35" s="7" t="s">
        <v>162</v>
      </c>
      <c r="F35" s="7" t="s">
        <v>0</v>
      </c>
      <c r="G35" s="7" t="s">
        <v>160</v>
      </c>
      <c r="H35" s="7" t="s">
        <v>163</v>
      </c>
      <c r="I35" s="7" t="s">
        <v>164</v>
      </c>
      <c r="J35" s="7" t="s">
        <v>27</v>
      </c>
      <c r="K35" s="7" t="s">
        <v>0</v>
      </c>
    </row>
    <row r="36" spans="1:11" ht="14.25" customHeight="1" x14ac:dyDescent="0.3">
      <c r="A36" s="6">
        <f t="shared" si="0"/>
        <v>30</v>
      </c>
      <c r="B36" s="7">
        <v>1</v>
      </c>
      <c r="C36" s="7" t="s">
        <v>165</v>
      </c>
      <c r="D36" s="7" t="s">
        <v>166</v>
      </c>
      <c r="E36" s="7" t="s">
        <v>167</v>
      </c>
      <c r="F36" s="7" t="s">
        <v>0</v>
      </c>
      <c r="G36" s="7" t="s">
        <v>165</v>
      </c>
      <c r="H36" s="7" t="s">
        <v>168</v>
      </c>
      <c r="I36" s="7" t="s">
        <v>169</v>
      </c>
      <c r="J36" s="7" t="s">
        <v>27</v>
      </c>
      <c r="K36" s="7" t="s">
        <v>0</v>
      </c>
    </row>
    <row r="37" spans="1:11" ht="14.25" customHeight="1" x14ac:dyDescent="0.3">
      <c r="A37" s="6">
        <f t="shared" si="0"/>
        <v>31</v>
      </c>
      <c r="B37" s="11">
        <f>SUM(L7:L50)</f>
        <v>0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14" x14ac:dyDescent="0.25"/>
    <row r="39" spans="1:11" ht="14" x14ac:dyDescent="0.25"/>
    <row r="40" spans="1:11" ht="14" x14ac:dyDescent="0.25"/>
    <row r="41" spans="1:11" ht="14" x14ac:dyDescent="0.25"/>
    <row r="42" spans="1:11" ht="14" x14ac:dyDescent="0.25"/>
    <row r="43" spans="1:11" ht="14" x14ac:dyDescent="0.25"/>
    <row r="44" spans="1:11" ht="14" x14ac:dyDescent="0.25"/>
    <row r="45" spans="1:11" ht="14" x14ac:dyDescent="0.25"/>
    <row r="46" spans="1:11" ht="14" x14ac:dyDescent="0.25"/>
    <row r="47" spans="1:11" ht="14" x14ac:dyDescent="0.25"/>
    <row r="48" spans="1:11" ht="14" x14ac:dyDescent="0.25"/>
    <row r="49" spans="12:12" ht="14" x14ac:dyDescent="0.25"/>
    <row r="50" spans="12:12" ht="14" x14ac:dyDescent="0.25"/>
    <row r="51" spans="12:12" ht="14.5" x14ac:dyDescent="0.3">
      <c r="L51" s="13"/>
    </row>
  </sheetData>
  <mergeCells count="3">
    <mergeCell ref="A1:D5"/>
    <mergeCell ref="E1:E2"/>
    <mergeCell ref="F1:F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220" zoomScaleNormal="220" workbookViewId="0">
      <selection activeCell="B14" sqref="B14"/>
    </sheetView>
  </sheetViews>
  <sheetFormatPr defaultColWidth="9" defaultRowHeight="14.25" customHeight="1" x14ac:dyDescent="0.25"/>
  <cols>
    <col min="1" max="1" width="23.6328125" customWidth="1"/>
    <col min="2" max="2" width="57.453125" customWidth="1"/>
  </cols>
  <sheetData>
    <row r="1" spans="1:2" ht="14.25" customHeight="1" x14ac:dyDescent="0.3">
      <c r="A1" s="4" t="s">
        <v>170</v>
      </c>
      <c r="B1" s="4" t="s">
        <v>4</v>
      </c>
    </row>
    <row r="2" spans="1:2" ht="14.25" customHeight="1" x14ac:dyDescent="0.3">
      <c r="A2" s="4" t="s">
        <v>171</v>
      </c>
      <c r="B2" s="4" t="s">
        <v>172</v>
      </c>
    </row>
    <row r="3" spans="1:2" ht="14.25" customHeight="1" x14ac:dyDescent="0.3">
      <c r="A3" s="4" t="s">
        <v>173</v>
      </c>
      <c r="B3" s="4" t="s">
        <v>174</v>
      </c>
    </row>
    <row r="4" spans="1:2" ht="14.25" customHeight="1" x14ac:dyDescent="0.3">
      <c r="A4" s="4" t="s">
        <v>175</v>
      </c>
      <c r="B4" s="4" t="s">
        <v>176</v>
      </c>
    </row>
    <row r="5" spans="1:2" ht="14.25" customHeight="1" x14ac:dyDescent="0.3">
      <c r="A5" s="4" t="s">
        <v>177</v>
      </c>
      <c r="B5" s="4" t="s">
        <v>6</v>
      </c>
    </row>
    <row r="6" spans="1:2" ht="14.25" customHeight="1" x14ac:dyDescent="0.3">
      <c r="A6" s="4" t="s">
        <v>178</v>
      </c>
      <c r="B6" s="4">
        <v>80</v>
      </c>
    </row>
    <row r="7" spans="1:2" ht="14.25" customHeight="1" x14ac:dyDescent="0.3">
      <c r="A7" s="4" t="s">
        <v>179</v>
      </c>
      <c r="B7" s="4" t="s">
        <v>180</v>
      </c>
    </row>
    <row r="8" spans="1:2" ht="14.25" customHeight="1" x14ac:dyDescent="0.3">
      <c r="A8" s="4" t="s">
        <v>181</v>
      </c>
      <c r="B8" s="4" t="s">
        <v>182</v>
      </c>
    </row>
    <row r="9" spans="1:2" ht="14.25" customHeight="1" x14ac:dyDescent="0.3">
      <c r="A9" s="4" t="s">
        <v>183</v>
      </c>
      <c r="B9" s="4" t="s">
        <v>8</v>
      </c>
    </row>
    <row r="10" spans="1:2" ht="14.25" customHeight="1" x14ac:dyDescent="0.3">
      <c r="A10" s="4" t="s">
        <v>184</v>
      </c>
      <c r="B10" s="4" t="s">
        <v>2</v>
      </c>
    </row>
    <row r="11" spans="1:2" ht="14.25" customHeight="1" x14ac:dyDescent="0.3">
      <c r="A11" s="4" t="s">
        <v>185</v>
      </c>
      <c r="B11" s="4" t="s">
        <v>186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2026-08-14T01:12:12Z</dcterms:modified>
  <cp:category/>
</cp:coreProperties>
</file>